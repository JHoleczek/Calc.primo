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ennik" sheetId="1" state="visible" r:id="rId3"/>
    <sheet name="Ceny m2" sheetId="2" state="visible" r:id="rId4"/>
    <sheet name="Opcje" sheetId="3" state="visible" r:id="rId5"/>
    <sheet name="Kalkulator" sheetId="4" state="visible" r:id="rId6"/>
    <sheet name="Pytania do szef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<sst xmlns="http://schemas.openxmlformats.org/spreadsheetml/2006/main" count="259" uniqueCount="177">
  <si>
    <t xml:space="preserve">Cennik frontów giętych – stawki za m² (powierzchnia rozwinięta po licu zewnętrznym)</t>
  </si>
  <si>
    <t xml:space="preserve">Niebieskie = dane wejściowe (do edycji). Żółte = cena jeszcze nieustalona – wpisz stawkę, reszta arkusza przeliczy się sama.</t>
  </si>
  <si>
    <t xml:space="preserve">Materiał</t>
  </si>
  <si>
    <t xml:space="preserve">Gładki (FG) [zł/m²]</t>
  </si>
  <si>
    <t xml:space="preserve">Ryflowany [zł/m²]</t>
  </si>
  <si>
    <t xml:space="preserve">FR07 [zł/m²]</t>
  </si>
  <si>
    <t xml:space="preserve">FR08 [zł/m²]</t>
  </si>
  <si>
    <t xml:space="preserve">Uwagi</t>
  </si>
  <si>
    <t xml:space="preserve">Lakierowane</t>
  </si>
  <si>
    <t xml:space="preserve">Stawki podane przez klienta (Jakub, wrzesień 2026).</t>
  </si>
  <si>
    <t xml:space="preserve">Fornirowane</t>
  </si>
  <si>
    <t xml:space="preserve">Do ustalenia z szefem (gładki / ryflowany / FR07–FR08).</t>
  </si>
  <si>
    <t xml:space="preserve">Laminat</t>
  </si>
  <si>
    <t xml:space="preserve">n/d</t>
  </si>
  <si>
    <t xml:space="preserve">Tylko gładki. Do ustalenia. Jedyny materiał przy H &gt; 2780 mm.</t>
  </si>
  <si>
    <t xml:space="preserve">Dopłaty i progi</t>
  </si>
  <si>
    <t xml:space="preserve">Parametr</t>
  </si>
  <si>
    <t xml:space="preserve">Wartość</t>
  </si>
  <si>
    <t xml:space="preserve">Próg wysokości H [mm]</t>
  </si>
  <si>
    <t xml:space="preserve">Powyżej progu: tylko laminat gładki + dopłata.</t>
  </si>
  <si>
    <t xml:space="preserve">Dopłata H &gt; próg</t>
  </si>
  <si>
    <t xml:space="preserve">Podane przez klienta.</t>
  </si>
  <si>
    <t xml:space="preserve">Dopłata za bryłę (front + środek)</t>
  </si>
  <si>
    <t xml:space="preserve">Łączenie dopłat</t>
  </si>
  <si>
    <t xml:space="preserve">mnożone</t>
  </si>
  <si>
    <t xml:space="preserve">Do potwierdzenia: mnożone (×1,30×1,25 = +62,5%) czy dodawane (+55%).</t>
  </si>
  <si>
    <t xml:space="preserve">Stawka za m² dla każdego ryflowania i materiału (liczona z arkusza Cennik)</t>
  </si>
  <si>
    <t xml:space="preserve">Pusta komórka = cena do ustalenia. „n/d” = połączenie niedostępne (laminat tylko gładki).</t>
  </si>
  <si>
    <t xml:space="preserve">Kod</t>
  </si>
  <si>
    <t xml:space="preserve">Ryflowanie</t>
  </si>
  <si>
    <t xml:space="preserve">Lakierowane [zł/m²]</t>
  </si>
  <si>
    <t xml:space="preserve">Fornirowane [zł/m²]</t>
  </si>
  <si>
    <t xml:space="preserve">Laminat [zł/m²]</t>
  </si>
  <si>
    <t xml:space="preserve">FG</t>
  </si>
  <si>
    <t xml:space="preserve">Gładki</t>
  </si>
  <si>
    <t xml:space="preserve">FR01</t>
  </si>
  <si>
    <t xml:space="preserve">Wpust 15</t>
  </si>
  <si>
    <t xml:space="preserve">FR02</t>
  </si>
  <si>
    <t xml:space="preserve">Klin 15</t>
  </si>
  <si>
    <t xml:space="preserve">FR03</t>
  </si>
  <si>
    <t xml:space="preserve">Fala 18</t>
  </si>
  <si>
    <t xml:space="preserve">FR04</t>
  </si>
  <si>
    <t xml:space="preserve">Fala 12</t>
  </si>
  <si>
    <t xml:space="preserve">FR05</t>
  </si>
  <si>
    <t xml:space="preserve">Wałek 19</t>
  </si>
  <si>
    <t xml:space="preserve">FR06</t>
  </si>
  <si>
    <t xml:space="preserve">Wałek 25</t>
  </si>
  <si>
    <t xml:space="preserve">FR07</t>
  </si>
  <si>
    <t xml:space="preserve">Wałek 9</t>
  </si>
  <si>
    <t xml:space="preserve">FR08</t>
  </si>
  <si>
    <t xml:space="preserve">Wpust 20</t>
  </si>
  <si>
    <t xml:space="preserve">FR09</t>
  </si>
  <si>
    <t xml:space="preserve">Rowek 6</t>
  </si>
  <si>
    <t xml:space="preserve">FR10</t>
  </si>
  <si>
    <t xml:space="preserve">Rowek 3</t>
  </si>
  <si>
    <t xml:space="preserve">FR11</t>
  </si>
  <si>
    <t xml:space="preserve">Wpust 10</t>
  </si>
  <si>
    <t xml:space="preserve">FR12</t>
  </si>
  <si>
    <t xml:space="preserve">Fala 10</t>
  </si>
  <si>
    <t xml:space="preserve">FR13</t>
  </si>
  <si>
    <t xml:space="preserve">Klin 10</t>
  </si>
  <si>
    <t xml:space="preserve">Możliwości konfiguracji (katalog 2026 + ustalenia)</t>
  </si>
  <si>
    <t xml:space="preserve">Typy frontów</t>
  </si>
  <si>
    <t xml:space="preserve">Typ</t>
  </si>
  <si>
    <t xml:space="preserve">Kształt</t>
  </si>
  <si>
    <t xml:space="preserve">Promień R [mm]</t>
  </si>
  <si>
    <t xml:space="preserve">Wymiary</t>
  </si>
  <si>
    <t xml:space="preserve">Kod katalogowy</t>
  </si>
  <si>
    <t xml:space="preserve">Narożne</t>
  </si>
  <si>
    <t xml:space="preserve">Łuk 90°</t>
  </si>
  <si>
    <t xml:space="preserve">50–600 co 50</t>
  </si>
  <si>
    <t xml:space="preserve">Przedłużenia lewe/prawe: 0 lub 10–50 mm (0 i 0 → N0, jedno → N1, oba → N2)</t>
  </si>
  <si>
    <t xml:space="preserve">FGN-N0/N1/N2-R###</t>
  </si>
  <si>
    <t xml:space="preserve">Przedłużane</t>
  </si>
  <si>
    <t xml:space="preserve">Łuk 90° + prosty odcinek</t>
  </si>
  <si>
    <t xml:space="preserve">L = od lica łuku do końca: R+50 … 700 mm</t>
  </si>
  <si>
    <t xml:space="preserve">FGP-R###-L###</t>
  </si>
  <si>
    <t xml:space="preserve">Obustronne</t>
  </si>
  <si>
    <t xml:space="preserve">Dwa łuki 90°</t>
  </si>
  <si>
    <t xml:space="preserve">100 (stały)</t>
  </si>
  <si>
    <t xml:space="preserve">W = 600 / 700 / 800 mm; boki Z: brak lub R+10 … 200 mm</t>
  </si>
  <si>
    <t xml:space="preserve">FGO-R100-W### (z bokami Z: FGOP-R100-W###-Z###)</t>
  </si>
  <si>
    <t xml:space="preserve">W łuk</t>
  </si>
  <si>
    <t xml:space="preserve">Półokrąg 180°</t>
  </si>
  <si>
    <t xml:space="preserve">200–350 co 50</t>
  </si>
  <si>
    <t xml:space="preserve">—</t>
  </si>
  <si>
    <t xml:space="preserve">EGL-R###</t>
  </si>
  <si>
    <t xml:space="preserve">Wymiary ogólne</t>
  </si>
  <si>
    <t xml:space="preserve">Zakres</t>
  </si>
  <si>
    <t xml:space="preserve">Grubość</t>
  </si>
  <si>
    <t xml:space="preserve">18 mm</t>
  </si>
  <si>
    <t xml:space="preserve">Wszystkie fronty</t>
  </si>
  <si>
    <t xml:space="preserve">Wysokość H</t>
  </si>
  <si>
    <t xml:space="preserve">100–3200 mm</t>
  </si>
  <si>
    <t xml:space="preserve">Powyżej 2780 mm tylko laminat gładki + dopłata 30%</t>
  </si>
  <si>
    <t xml:space="preserve">Powierzchnia do wyceny</t>
  </si>
  <si>
    <t xml:space="preserve">m² = (długość łuku po licu zewn. + przedłużenia) × H</t>
  </si>
  <si>
    <t xml:space="preserve">Klient nie widzi m² ani cen</t>
  </si>
  <si>
    <t xml:space="preserve">Materiały</t>
  </si>
  <si>
    <t xml:space="preserve">Kolor</t>
  </si>
  <si>
    <t xml:space="preserve">Ograniczenia</t>
  </si>
  <si>
    <t xml:space="preserve">Tylko gładki (FG)</t>
  </si>
  <si>
    <t xml:space="preserve">Opcjonalny (dekor)</t>
  </si>
  <si>
    <t xml:space="preserve">Jedyny materiał przy H &gt; 2780 mm</t>
  </si>
  <si>
    <t xml:space="preserve">Wszystkie FG, FR01–FR13</t>
  </si>
  <si>
    <t xml:space="preserve">Opcjonalny (np. dąb, bejca)</t>
  </si>
  <si>
    <t xml:space="preserve">Wymagany (RAL / NCS)</t>
  </si>
  <si>
    <t xml:space="preserve">Ryflowania</t>
  </si>
  <si>
    <t xml:space="preserve">Nazwa</t>
  </si>
  <si>
    <t xml:space="preserve">Profil</t>
  </si>
  <si>
    <t xml:space="preserve">gładki</t>
  </si>
  <si>
    <t xml:space="preserve">frez w licu</t>
  </si>
  <si>
    <t xml:space="preserve">Dodatki</t>
  </si>
  <si>
    <t xml:space="preserve">Opcja</t>
  </si>
  <si>
    <t xml:space="preserve">Dopłata</t>
  </si>
  <si>
    <t xml:space="preserve">Bryła (front + środek)</t>
  </si>
  <si>
    <t xml:space="preserve">+25%</t>
  </si>
  <si>
    <t xml:space="preserve">Dostępna dla wszystkich typów (checkbox)</t>
  </si>
  <si>
    <t xml:space="preserve">H &gt; 2780 mm</t>
  </si>
  <si>
    <t xml:space="preserve">+30%</t>
  </si>
  <si>
    <t xml:space="preserve">Wymusza laminat gładki</t>
  </si>
  <si>
    <t xml:space="preserve">Kalkulator wyceny jednej pozycji</t>
  </si>
  <si>
    <t xml:space="preserve">Wpisz / wybierz wartości w niebieskich komórkach (kolumna B). Przykład poniżej: narożny R300, H 720, przedłużenia 30/40, lakier FR07, bryła, 2 szt.</t>
  </si>
  <si>
    <t xml:space="preserve">Dane wejściowe</t>
  </si>
  <si>
    <t xml:space="preserve">Zakres / uwagi</t>
  </si>
  <si>
    <t xml:space="preserve">Narożne / Przedłużane / Obustronne / W łuk</t>
  </si>
  <si>
    <t xml:space="preserve">Narożne/Przedłużane 50–600, Obustronne 100, W łuk 200–350</t>
  </si>
  <si>
    <t xml:space="preserve">Wysokość H [mm]</t>
  </si>
  <si>
    <t xml:space="preserve">100–3200</t>
  </si>
  <si>
    <t xml:space="preserve">Przedłużenie lewe [mm]</t>
  </si>
  <si>
    <t xml:space="preserve">Tylko narożne: 0 lub 10–50</t>
  </si>
  <si>
    <t xml:space="preserve">Przedłużenie prawe [mm]</t>
  </si>
  <si>
    <t xml:space="preserve">Wymiar L [mm]</t>
  </si>
  <si>
    <t xml:space="preserve">Tylko przedłużane: R+50 … 700</t>
  </si>
  <si>
    <t xml:space="preserve">Szerokość W [mm]</t>
  </si>
  <si>
    <t xml:space="preserve">Tylko obustronne: 600 / 700 / 800</t>
  </si>
  <si>
    <t xml:space="preserve">Boki Z [mm] (0 = brak)</t>
  </si>
  <si>
    <t xml:space="preserve">Tylko obustronne: 0 lub R+10 … 200</t>
  </si>
  <si>
    <t xml:space="preserve">Laminat / Fornirowane / Lakierowane</t>
  </si>
  <si>
    <t xml:space="preserve">FG, FR01–FR13 (laminat zawsze FG)</t>
  </si>
  <si>
    <t xml:space="preserve">Bryła (TAK/NIE)</t>
  </si>
  <si>
    <t xml:space="preserve">TAK</t>
  </si>
  <si>
    <t xml:space="preserve">Ilość [szt.]</t>
  </si>
  <si>
    <t xml:space="preserve">Wynik</t>
  </si>
  <si>
    <t xml:space="preserve">Jak liczone</t>
  </si>
  <si>
    <t xml:space="preserve">Łuki po licu zewn. [mm]</t>
  </si>
  <si>
    <t xml:space="preserve">Narożne/Przedłużane: ¼ okręgu; Obustronne: 2 × ¼; W łuk: ½</t>
  </si>
  <si>
    <t xml:space="preserve">Odcinki proste [mm]</t>
  </si>
  <si>
    <t xml:space="preserve">Przedłużenia / L−R / W−2R + boki</t>
  </si>
  <si>
    <t xml:space="preserve">Rozwinięcie [mm]</t>
  </si>
  <si>
    <t xml:space="preserve">Powierzchnia 1 szt. [m²]</t>
  </si>
  <si>
    <t xml:space="preserve">Rozwinięcie × H</t>
  </si>
  <si>
    <t xml:space="preserve">Ryflowanie do wyceny</t>
  </si>
  <si>
    <t xml:space="preserve">Laminat zawsze gładki</t>
  </si>
  <si>
    <t xml:space="preserve">Stawka bazowa [zł/m²]</t>
  </si>
  <si>
    <t xml:space="preserve">Z arkusza Ceny m2</t>
  </si>
  <si>
    <t xml:space="preserve">Mnożnik H &gt; próg</t>
  </si>
  <si>
    <t xml:space="preserve">Mnożnik bryła</t>
  </si>
  <si>
    <t xml:space="preserve">Stawka końcowa [zł/m²]</t>
  </si>
  <si>
    <t xml:space="preserve">Dopłaty mnożone</t>
  </si>
  <si>
    <t xml:space="preserve">Cena 1 szt.</t>
  </si>
  <si>
    <t xml:space="preserve">Zaokrąglona do zł</t>
  </si>
  <si>
    <t xml:space="preserve">Cena pozycji</t>
  </si>
  <si>
    <t xml:space="preserve">× ilość</t>
  </si>
  <si>
    <t xml:space="preserve">Kontrola najważniejszych ograniczeń</t>
  </si>
  <si>
    <t xml:space="preserve">Otwarte kwestie cenowe</t>
  </si>
  <si>
    <t xml:space="preserve">#</t>
  </si>
  <si>
    <t xml:space="preserve">Pytanie</t>
  </si>
  <si>
    <t xml:space="preserve">Odpowiedź (do uzupełnienia)</t>
  </si>
  <si>
    <t xml:space="preserve">Fornir – ile za m²? Gładki / ryflowany? Czy FR07 i FR08 też droższe?</t>
  </si>
  <si>
    <t xml:space="preserve">Laminat – ile za m² (tylko gładki)? To jedyny materiał przy H &gt; 2780 mm.</t>
  </si>
  <si>
    <t xml:space="preserve">Ceny 2000 / 2600 / 2750 zł to netto czy brutto?</t>
  </si>
  <si>
    <t xml:space="preserve">H &gt; 2780 i bryła jednocześnie: mnożymy (+62,5%, tak jest teraz) czy dodajemy (+55%)?</t>
  </si>
  <si>
    <t xml:space="preserve">Bryła – co dokładnie obejmuje „środek”? Czy potrzebne dodatkowe wymiary od klienta? Czy +25% od m² frontu?</t>
  </si>
  <si>
    <t xml:space="preserve">Czy przedłużenia 10–50 mm mają dopłatę poza m²?</t>
  </si>
  <si>
    <t xml:space="preserve">Czy kolor lakieru (RAL / NCS / połysk / mat) zmienia cenę?</t>
  </si>
  <si>
    <t xml:space="preserve">Minimalne zamówienie, transport, termin realizacji do odpowiedzi klientowi?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</si>
</sst>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zł&quot;"/>
    <numFmt numFmtId="166" formatCode="0"/>
    <numFmt numFmtId="167" formatCode="0%"/>
    <numFmt numFmtId="168" formatCode="@"/>
    <numFmt numFmtId="169" formatCode="0.0"/>
    <numFmt numFmtId="170" formatCode="0.000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1E1E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DC880"/>
        <bgColor rgb="FFBBBB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88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2000</v>
      </c>
      <c r="C5" s="5" t="n">
        <v>2600</v>
      </c>
      <c r="D5" s="5" t="n">
        <v>2750</v>
      </c>
      <c r="E5" s="5" t="n">
        <v>2750</v>
      </c>
      <c r="F5" s="6" t="s">
        <v>9</v>
      </c>
    </row>
    <row r="6" customFormat="false" ht="15" hidden="false" customHeight="false" outlineLevel="0" collapsed="false">
      <c r="A6" s="4" t="s">
        <v>10</v>
      </c>
      <c r="B6" s="7"/>
      <c r="C6" s="7"/>
      <c r="D6" s="7"/>
      <c r="E6" s="7"/>
      <c r="F6" s="6" t="s">
        <v>11</v>
      </c>
    </row>
    <row r="7" customFormat="false" ht="15" hidden="false" customHeight="false" outlineLevel="0" collapsed="false">
      <c r="A7" s="4" t="s">
        <v>12</v>
      </c>
      <c r="B7" s="7"/>
      <c r="C7" s="8" t="s">
        <v>13</v>
      </c>
      <c r="D7" s="8" t="s">
        <v>13</v>
      </c>
      <c r="E7" s="8" t="s">
        <v>13</v>
      </c>
      <c r="F7" s="6" t="s">
        <v>14</v>
      </c>
    </row>
    <row r="10" customFormat="false" ht="15" hidden="false" customHeight="false" outlineLevel="0" collapsed="false">
      <c r="A10" s="9" t="s">
        <v>15</v>
      </c>
    </row>
    <row r="11" customFormat="false" ht="15" hidden="false" customHeight="false" outlineLevel="0" collapsed="false">
      <c r="A11" s="3" t="s">
        <v>16</v>
      </c>
      <c r="B11" s="3" t="s">
        <v>17</v>
      </c>
      <c r="C11" s="3"/>
      <c r="D11" s="3"/>
      <c r="E11" s="3"/>
      <c r="F11" s="3" t="s">
        <v>7</v>
      </c>
    </row>
    <row r="12" customFormat="false" ht="15" hidden="false" customHeight="false" outlineLevel="0" collapsed="false">
      <c r="A12" s="6" t="s">
        <v>18</v>
      </c>
      <c r="B12" s="10" t="n">
        <v>2780</v>
      </c>
      <c r="C12" s="6"/>
      <c r="D12" s="6"/>
      <c r="E12" s="6"/>
      <c r="F12" s="6" t="s">
        <v>19</v>
      </c>
    </row>
    <row r="13" customFormat="false" ht="15" hidden="false" customHeight="false" outlineLevel="0" collapsed="false">
      <c r="A13" s="6" t="s">
        <v>20</v>
      </c>
      <c r="B13" s="11" t="n">
        <v>0.3</v>
      </c>
      <c r="C13" s="6"/>
      <c r="D13" s="6"/>
      <c r="E13" s="6"/>
      <c r="F13" s="6" t="s">
        <v>21</v>
      </c>
    </row>
    <row r="14" customFormat="false" ht="15" hidden="false" customHeight="false" outlineLevel="0" collapsed="false">
      <c r="A14" s="6" t="s">
        <v>22</v>
      </c>
      <c r="B14" s="11" t="n">
        <v>0.25</v>
      </c>
      <c r="C14" s="6"/>
      <c r="D14" s="6"/>
      <c r="E14" s="6"/>
      <c r="F14" s="6" t="s">
        <v>21</v>
      </c>
    </row>
    <row r="15" customFormat="false" ht="15" hidden="false" customHeight="false" outlineLevel="0" collapsed="false">
      <c r="A15" s="6" t="s">
        <v>23</v>
      </c>
      <c r="B15" s="12" t="s">
        <v>24</v>
      </c>
      <c r="C15" s="6"/>
      <c r="D15" s="6"/>
      <c r="E15" s="6"/>
      <c r="F15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</row>
    <row r="5" customFormat="false" ht="15" hidden="false" customHeight="false" outlineLevel="0" collapsed="false">
      <c r="A5" s="4" t="s">
        <v>33</v>
      </c>
      <c r="B5" s="6" t="s">
        <v>34</v>
      </c>
      <c r="C5" s="13" t="n">
        <f aca="false">IF(Cennik!$B$5="","",Cennik!$B$5)</f>
        <v>2000</v>
      </c>
      <c r="D5" s="13" t="str">
        <f aca="false">IF(Cennik!$B$6="","",Cennik!$B$6)</f>
        <v/>
      </c>
      <c r="E5" s="13" t="str">
        <f aca="false">IF(Cennik!$B$7="","",Cennik!$B$7)</f>
        <v/>
      </c>
    </row>
    <row r="6" customFormat="false" ht="15" hidden="false" customHeight="false" outlineLevel="0" collapsed="false">
      <c r="A6" s="4" t="s">
        <v>35</v>
      </c>
      <c r="B6" s="6" t="s">
        <v>36</v>
      </c>
      <c r="C6" s="13" t="n">
        <f aca="false">IF(Cennik!$C$5="","",Cennik!$C$5)</f>
        <v>2600</v>
      </c>
      <c r="D6" s="13" t="str">
        <f aca="false">IF(Cennik!$C$6="","",Cennik!$C$6)</f>
        <v/>
      </c>
      <c r="E6" s="14" t="s">
        <v>13</v>
      </c>
    </row>
    <row r="7" customFormat="false" ht="15" hidden="false" customHeight="false" outlineLevel="0" collapsed="false">
      <c r="A7" s="4" t="s">
        <v>37</v>
      </c>
      <c r="B7" s="6" t="s">
        <v>38</v>
      </c>
      <c r="C7" s="13" t="n">
        <f aca="false">IF(Cennik!$C$5="","",Cennik!$C$5)</f>
        <v>2600</v>
      </c>
      <c r="D7" s="13" t="str">
        <f aca="false">IF(Cennik!$C$6="","",Cennik!$C$6)</f>
        <v/>
      </c>
      <c r="E7" s="14" t="s">
        <v>13</v>
      </c>
    </row>
    <row r="8" customFormat="false" ht="15" hidden="false" customHeight="false" outlineLevel="0" collapsed="false">
      <c r="A8" s="4" t="s">
        <v>39</v>
      </c>
      <c r="B8" s="6" t="s">
        <v>40</v>
      </c>
      <c r="C8" s="13" t="n">
        <f aca="false">IF(Cennik!$C$5="","",Cennik!$C$5)</f>
        <v>2600</v>
      </c>
      <c r="D8" s="13" t="str">
        <f aca="false">IF(Cennik!$C$6="","",Cennik!$C$6)</f>
        <v/>
      </c>
      <c r="E8" s="14" t="s">
        <v>13</v>
      </c>
    </row>
    <row r="9" customFormat="false" ht="15" hidden="false" customHeight="false" outlineLevel="0" collapsed="false">
      <c r="A9" s="4" t="s">
        <v>41</v>
      </c>
      <c r="B9" s="6" t="s">
        <v>42</v>
      </c>
      <c r="C9" s="13" t="n">
        <f aca="false">IF(Cennik!$C$5="","",Cennik!$C$5)</f>
        <v>2600</v>
      </c>
      <c r="D9" s="13" t="str">
        <f aca="false">IF(Cennik!$C$6="","",Cennik!$C$6)</f>
        <v/>
      </c>
      <c r="E9" s="14" t="s">
        <v>13</v>
      </c>
    </row>
    <row r="10" customFormat="false" ht="15" hidden="false" customHeight="false" outlineLevel="0" collapsed="false">
      <c r="A10" s="4" t="s">
        <v>43</v>
      </c>
      <c r="B10" s="6" t="s">
        <v>44</v>
      </c>
      <c r="C10" s="13" t="n">
        <f aca="false">IF(Cennik!$C$5="","",Cennik!$C$5)</f>
        <v>2600</v>
      </c>
      <c r="D10" s="13" t="str">
        <f aca="false">IF(Cennik!$C$6="","",Cennik!$C$6)</f>
        <v/>
      </c>
      <c r="E10" s="14" t="s">
        <v>13</v>
      </c>
    </row>
    <row r="11" customFormat="false" ht="15" hidden="false" customHeight="false" outlineLevel="0" collapsed="false">
      <c r="A11" s="4" t="s">
        <v>45</v>
      </c>
      <c r="B11" s="6" t="s">
        <v>46</v>
      </c>
      <c r="C11" s="13" t="n">
        <f aca="false">IF(Cennik!$C$5="","",Cennik!$C$5)</f>
        <v>2600</v>
      </c>
      <c r="D11" s="13" t="str">
        <f aca="false">IF(Cennik!$C$6="","",Cennik!$C$6)</f>
        <v/>
      </c>
      <c r="E11" s="14" t="s">
        <v>13</v>
      </c>
    </row>
    <row r="12" customFormat="false" ht="15" hidden="false" customHeight="false" outlineLevel="0" collapsed="false">
      <c r="A12" s="4" t="s">
        <v>47</v>
      </c>
      <c r="B12" s="6" t="s">
        <v>48</v>
      </c>
      <c r="C12" s="13" t="n">
        <f aca="false">IF(IF(Cennik!$D$5="",Cennik!$C$5,Cennik!$D$5)="","",IF(Cennik!$D$5="",Cennik!$C$5,Cennik!$D$5))</f>
        <v>2750</v>
      </c>
      <c r="D12" s="13" t="str">
        <f aca="false">IF(IF(Cennik!$D$6="",Cennik!$C$6,Cennik!$D$6)="","",IF(Cennik!$D$6="",Cennik!$C$6,Cennik!$D$6))</f>
        <v/>
      </c>
      <c r="E12" s="14" t="s">
        <v>13</v>
      </c>
    </row>
    <row r="13" customFormat="false" ht="15" hidden="false" customHeight="false" outlineLevel="0" collapsed="false">
      <c r="A13" s="4" t="s">
        <v>49</v>
      </c>
      <c r="B13" s="6" t="s">
        <v>50</v>
      </c>
      <c r="C13" s="13" t="n">
        <f aca="false">IF(IF(Cennik!$E$5="",Cennik!$C$5,Cennik!$E$5)="","",IF(Cennik!$E$5="",Cennik!$C$5,Cennik!$E$5))</f>
        <v>2750</v>
      </c>
      <c r="D13" s="13" t="str">
        <f aca="false">IF(IF(Cennik!$E$6="",Cennik!$C$6,Cennik!$E$6)="","",IF(Cennik!$E$6="",Cennik!$C$6,Cennik!$E$6))</f>
        <v/>
      </c>
      <c r="E13" s="14" t="s">
        <v>13</v>
      </c>
    </row>
    <row r="14" customFormat="false" ht="15" hidden="false" customHeight="false" outlineLevel="0" collapsed="false">
      <c r="A14" s="4" t="s">
        <v>51</v>
      </c>
      <c r="B14" s="6" t="s">
        <v>52</v>
      </c>
      <c r="C14" s="13" t="n">
        <f aca="false">IF(Cennik!$C$5="","",Cennik!$C$5)</f>
        <v>2600</v>
      </c>
      <c r="D14" s="13" t="str">
        <f aca="false">IF(Cennik!$C$6="","",Cennik!$C$6)</f>
        <v/>
      </c>
      <c r="E14" s="14" t="s">
        <v>13</v>
      </c>
    </row>
    <row r="15" customFormat="false" ht="15" hidden="false" customHeight="false" outlineLevel="0" collapsed="false">
      <c r="A15" s="4" t="s">
        <v>53</v>
      </c>
      <c r="B15" s="6" t="s">
        <v>54</v>
      </c>
      <c r="C15" s="13" t="n">
        <f aca="false">IF(Cennik!$C$5="","",Cennik!$C$5)</f>
        <v>2600</v>
      </c>
      <c r="D15" s="13" t="str">
        <f aca="false">IF(Cennik!$C$6="","",Cennik!$C$6)</f>
        <v/>
      </c>
      <c r="E15" s="14" t="s">
        <v>13</v>
      </c>
    </row>
    <row r="16" customFormat="false" ht="15" hidden="false" customHeight="false" outlineLevel="0" collapsed="false">
      <c r="A16" s="4" t="s">
        <v>55</v>
      </c>
      <c r="B16" s="6" t="s">
        <v>56</v>
      </c>
      <c r="C16" s="13" t="n">
        <f aca="false">IF(Cennik!$C$5="","",Cennik!$C$5)</f>
        <v>2600</v>
      </c>
      <c r="D16" s="13" t="str">
        <f aca="false">IF(Cennik!$C$6="","",Cennik!$C$6)</f>
        <v/>
      </c>
      <c r="E16" s="14" t="s">
        <v>13</v>
      </c>
    </row>
    <row r="17" customFormat="false" ht="15" hidden="false" customHeight="false" outlineLevel="0" collapsed="false">
      <c r="A17" s="4" t="s">
        <v>57</v>
      </c>
      <c r="B17" s="6" t="s">
        <v>58</v>
      </c>
      <c r="C17" s="13" t="n">
        <f aca="false">IF(Cennik!$C$5="","",Cennik!$C$5)</f>
        <v>2600</v>
      </c>
      <c r="D17" s="13" t="str">
        <f aca="false">IF(Cennik!$C$6="","",Cennik!$C$6)</f>
        <v/>
      </c>
      <c r="E17" s="14" t="s">
        <v>13</v>
      </c>
    </row>
    <row r="18" customFormat="false" ht="15" hidden="false" customHeight="false" outlineLevel="0" collapsed="false">
      <c r="A18" s="4" t="s">
        <v>59</v>
      </c>
      <c r="B18" s="6" t="s">
        <v>60</v>
      </c>
      <c r="C18" s="13" t="n">
        <f aca="false">IF(Cennik!$C$5="","",Cennik!$C$5)</f>
        <v>2600</v>
      </c>
      <c r="D18" s="13" t="str">
        <f aca="false">IF(Cennik!$C$6="","",Cennik!$C$6)</f>
        <v/>
      </c>
      <c r="E18" s="1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9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</row>
    <row r="5" customFormat="false" ht="15" hidden="false" customHeight="false" outlineLevel="0" collapsed="false">
      <c r="A5" s="6" t="s">
        <v>68</v>
      </c>
      <c r="B5" s="6" t="s">
        <v>69</v>
      </c>
      <c r="C5" s="6" t="s">
        <v>70</v>
      </c>
      <c r="D5" s="6" t="s">
        <v>71</v>
      </c>
      <c r="E5" s="6" t="s">
        <v>72</v>
      </c>
    </row>
    <row r="6" customFormat="false" ht="15" hidden="false" customHeight="false" outlineLevel="0" collapsed="false">
      <c r="A6" s="6" t="s">
        <v>73</v>
      </c>
      <c r="B6" s="6" t="s">
        <v>74</v>
      </c>
      <c r="C6" s="6" t="s">
        <v>70</v>
      </c>
      <c r="D6" s="6" t="s">
        <v>75</v>
      </c>
      <c r="E6" s="6" t="s">
        <v>76</v>
      </c>
    </row>
    <row r="7" customFormat="false" ht="15" hidden="false" customHeight="false" outlineLevel="0" collapsed="false">
      <c r="A7" s="6" t="s">
        <v>77</v>
      </c>
      <c r="B7" s="6" t="s">
        <v>78</v>
      </c>
      <c r="C7" s="6" t="s">
        <v>79</v>
      </c>
      <c r="D7" s="6" t="s">
        <v>80</v>
      </c>
      <c r="E7" s="6" t="s">
        <v>81</v>
      </c>
    </row>
    <row r="8" customFormat="false" ht="15" hidden="false" customHeight="false" outlineLevel="0" collapsed="false">
      <c r="A8" s="6" t="s">
        <v>82</v>
      </c>
      <c r="B8" s="6" t="s">
        <v>83</v>
      </c>
      <c r="C8" s="6" t="s">
        <v>84</v>
      </c>
      <c r="D8" s="6" t="s">
        <v>85</v>
      </c>
      <c r="E8" s="6" t="s">
        <v>86</v>
      </c>
    </row>
    <row r="10" customFormat="false" ht="15" hidden="false" customHeight="false" outlineLevel="0" collapsed="false">
      <c r="A10" s="9" t="s">
        <v>87</v>
      </c>
    </row>
    <row r="11" customFormat="false" ht="15" hidden="false" customHeight="false" outlineLevel="0" collapsed="false">
      <c r="A11" s="3" t="s">
        <v>16</v>
      </c>
      <c r="B11" s="3" t="s">
        <v>88</v>
      </c>
      <c r="C11" s="3" t="s">
        <v>7</v>
      </c>
      <c r="D11" s="3"/>
      <c r="E11" s="3"/>
    </row>
    <row r="12" customFormat="false" ht="15" hidden="false" customHeight="false" outlineLevel="0" collapsed="false">
      <c r="A12" s="6" t="s">
        <v>89</v>
      </c>
      <c r="B12" s="6" t="s">
        <v>90</v>
      </c>
      <c r="C12" s="6" t="s">
        <v>91</v>
      </c>
      <c r="D12" s="6"/>
      <c r="E12" s="6"/>
    </row>
    <row r="13" customFormat="false" ht="15" hidden="false" customHeight="false" outlineLevel="0" collapsed="false">
      <c r="A13" s="6" t="s">
        <v>92</v>
      </c>
      <c r="B13" s="6" t="s">
        <v>93</v>
      </c>
      <c r="C13" s="6" t="s">
        <v>94</v>
      </c>
      <c r="D13" s="6"/>
      <c r="E13" s="6"/>
    </row>
    <row r="14" customFormat="false" ht="15" hidden="false" customHeight="false" outlineLevel="0" collapsed="false">
      <c r="A14" s="6" t="s">
        <v>95</v>
      </c>
      <c r="B14" s="6" t="s">
        <v>96</v>
      </c>
      <c r="C14" s="6" t="s">
        <v>97</v>
      </c>
      <c r="D14" s="6"/>
      <c r="E14" s="6"/>
    </row>
    <row r="16" customFormat="false" ht="15" hidden="false" customHeight="false" outlineLevel="0" collapsed="false">
      <c r="A16" s="9" t="s">
        <v>98</v>
      </c>
    </row>
    <row r="17" customFormat="false" ht="15" hidden="false" customHeight="false" outlineLevel="0" collapsed="false">
      <c r="A17" s="3" t="s">
        <v>2</v>
      </c>
      <c r="B17" s="3" t="s">
        <v>29</v>
      </c>
      <c r="C17" s="3" t="s">
        <v>99</v>
      </c>
      <c r="D17" s="3" t="s">
        <v>100</v>
      </c>
      <c r="E17" s="3"/>
    </row>
    <row r="18" customFormat="false" ht="15" hidden="false" customHeight="false" outlineLevel="0" collapsed="false">
      <c r="A18" s="6" t="s">
        <v>12</v>
      </c>
      <c r="B18" s="6" t="s">
        <v>101</v>
      </c>
      <c r="C18" s="6" t="s">
        <v>102</v>
      </c>
      <c r="D18" s="6" t="s">
        <v>103</v>
      </c>
      <c r="E18" s="6"/>
    </row>
    <row r="19" customFormat="false" ht="15" hidden="false" customHeight="false" outlineLevel="0" collapsed="false">
      <c r="A19" s="6" t="s">
        <v>10</v>
      </c>
      <c r="B19" s="6" t="s">
        <v>104</v>
      </c>
      <c r="C19" s="6" t="s">
        <v>105</v>
      </c>
      <c r="D19" s="6" t="s">
        <v>85</v>
      </c>
      <c r="E19" s="6"/>
    </row>
    <row r="20" customFormat="false" ht="15" hidden="false" customHeight="false" outlineLevel="0" collapsed="false">
      <c r="A20" s="6" t="s">
        <v>8</v>
      </c>
      <c r="B20" s="6" t="s">
        <v>104</v>
      </c>
      <c r="C20" s="6" t="s">
        <v>106</v>
      </c>
      <c r="D20" s="6" t="s">
        <v>85</v>
      </c>
      <c r="E20" s="6"/>
    </row>
    <row r="22" customFormat="false" ht="15" hidden="false" customHeight="false" outlineLevel="0" collapsed="false">
      <c r="A22" s="9" t="s">
        <v>107</v>
      </c>
    </row>
    <row r="23" customFormat="false" ht="15" hidden="false" customHeight="false" outlineLevel="0" collapsed="false">
      <c r="A23" s="3" t="s">
        <v>28</v>
      </c>
      <c r="B23" s="3" t="s">
        <v>108</v>
      </c>
      <c r="C23" s="3" t="s">
        <v>109</v>
      </c>
      <c r="D23" s="3"/>
      <c r="E23" s="3"/>
    </row>
    <row r="24" customFormat="false" ht="15" hidden="false" customHeight="false" outlineLevel="0" collapsed="false">
      <c r="A24" s="6" t="s">
        <v>33</v>
      </c>
      <c r="B24" s="6" t="s">
        <v>34</v>
      </c>
      <c r="C24" s="6" t="s">
        <v>110</v>
      </c>
      <c r="D24" s="6"/>
      <c r="E24" s="6"/>
    </row>
    <row r="25" customFormat="false" ht="15" hidden="false" customHeight="false" outlineLevel="0" collapsed="false">
      <c r="A25" s="6" t="s">
        <v>35</v>
      </c>
      <c r="B25" s="6" t="s">
        <v>36</v>
      </c>
      <c r="C25" s="6" t="s">
        <v>111</v>
      </c>
      <c r="D25" s="6"/>
      <c r="E25" s="6"/>
    </row>
    <row r="26" customFormat="false" ht="15" hidden="false" customHeight="false" outlineLevel="0" collapsed="false">
      <c r="A26" s="6" t="s">
        <v>37</v>
      </c>
      <c r="B26" s="6" t="s">
        <v>38</v>
      </c>
      <c r="C26" s="6" t="s">
        <v>111</v>
      </c>
      <c r="D26" s="6"/>
      <c r="E26" s="6"/>
    </row>
    <row r="27" customFormat="false" ht="15" hidden="false" customHeight="false" outlineLevel="0" collapsed="false">
      <c r="A27" s="6" t="s">
        <v>39</v>
      </c>
      <c r="B27" s="6" t="s">
        <v>40</v>
      </c>
      <c r="C27" s="6" t="s">
        <v>111</v>
      </c>
      <c r="D27" s="6"/>
      <c r="E27" s="6"/>
    </row>
    <row r="28" customFormat="false" ht="15" hidden="false" customHeight="false" outlineLevel="0" collapsed="false">
      <c r="A28" s="6" t="s">
        <v>41</v>
      </c>
      <c r="B28" s="6" t="s">
        <v>42</v>
      </c>
      <c r="C28" s="6" t="s">
        <v>111</v>
      </c>
      <c r="D28" s="6"/>
      <c r="E28" s="6"/>
    </row>
    <row r="29" customFormat="false" ht="15" hidden="false" customHeight="false" outlineLevel="0" collapsed="false">
      <c r="A29" s="6" t="s">
        <v>43</v>
      </c>
      <c r="B29" s="6" t="s">
        <v>44</v>
      </c>
      <c r="C29" s="6" t="s">
        <v>111</v>
      </c>
      <c r="D29" s="6"/>
      <c r="E29" s="6"/>
    </row>
    <row r="30" customFormat="false" ht="15" hidden="false" customHeight="false" outlineLevel="0" collapsed="false">
      <c r="A30" s="6" t="s">
        <v>45</v>
      </c>
      <c r="B30" s="6" t="s">
        <v>46</v>
      </c>
      <c r="C30" s="6" t="s">
        <v>111</v>
      </c>
      <c r="D30" s="6"/>
      <c r="E30" s="6"/>
    </row>
    <row r="31" customFormat="false" ht="15" hidden="false" customHeight="false" outlineLevel="0" collapsed="false">
      <c r="A31" s="6" t="s">
        <v>47</v>
      </c>
      <c r="B31" s="6" t="s">
        <v>48</v>
      </c>
      <c r="C31" s="6" t="s">
        <v>111</v>
      </c>
      <c r="D31" s="6"/>
      <c r="E31" s="6"/>
    </row>
    <row r="32" customFormat="false" ht="15" hidden="false" customHeight="false" outlineLevel="0" collapsed="false">
      <c r="A32" s="6" t="s">
        <v>49</v>
      </c>
      <c r="B32" s="6" t="s">
        <v>50</v>
      </c>
      <c r="C32" s="6" t="s">
        <v>111</v>
      </c>
      <c r="D32" s="6"/>
      <c r="E32" s="6"/>
    </row>
    <row r="33" customFormat="false" ht="15" hidden="false" customHeight="false" outlineLevel="0" collapsed="false">
      <c r="A33" s="6" t="s">
        <v>51</v>
      </c>
      <c r="B33" s="6" t="s">
        <v>52</v>
      </c>
      <c r="C33" s="6" t="s">
        <v>111</v>
      </c>
      <c r="D33" s="6"/>
      <c r="E33" s="6"/>
    </row>
    <row r="34" customFormat="false" ht="15" hidden="false" customHeight="false" outlineLevel="0" collapsed="false">
      <c r="A34" s="6" t="s">
        <v>53</v>
      </c>
      <c r="B34" s="6" t="s">
        <v>54</v>
      </c>
      <c r="C34" s="6" t="s">
        <v>111</v>
      </c>
      <c r="D34" s="6"/>
      <c r="E34" s="6"/>
    </row>
    <row r="35" customFormat="false" ht="15" hidden="false" customHeight="false" outlineLevel="0" collapsed="false">
      <c r="A35" s="6" t="s">
        <v>55</v>
      </c>
      <c r="B35" s="6" t="s">
        <v>56</v>
      </c>
      <c r="C35" s="6" t="s">
        <v>111</v>
      </c>
      <c r="D35" s="6"/>
      <c r="E35" s="6"/>
    </row>
    <row r="36" customFormat="false" ht="15" hidden="false" customHeight="false" outlineLevel="0" collapsed="false">
      <c r="A36" s="6" t="s">
        <v>57</v>
      </c>
      <c r="B36" s="6" t="s">
        <v>58</v>
      </c>
      <c r="C36" s="6" t="s">
        <v>111</v>
      </c>
      <c r="D36" s="6"/>
      <c r="E36" s="6"/>
    </row>
    <row r="37" customFormat="false" ht="15" hidden="false" customHeight="false" outlineLevel="0" collapsed="false">
      <c r="A37" s="6" t="s">
        <v>59</v>
      </c>
      <c r="B37" s="6" t="s">
        <v>60</v>
      </c>
      <c r="C37" s="6" t="s">
        <v>111</v>
      </c>
      <c r="D37" s="6"/>
      <c r="E37" s="6"/>
    </row>
    <row r="39" customFormat="false" ht="15" hidden="false" customHeight="false" outlineLevel="0" collapsed="false">
      <c r="A39" s="9" t="s">
        <v>112</v>
      </c>
    </row>
    <row r="40" customFormat="false" ht="15" hidden="false" customHeight="false" outlineLevel="0" collapsed="false">
      <c r="A40" s="3" t="s">
        <v>113</v>
      </c>
      <c r="B40" s="3" t="s">
        <v>114</v>
      </c>
      <c r="C40" s="3" t="s">
        <v>7</v>
      </c>
      <c r="D40" s="3"/>
      <c r="E40" s="3"/>
    </row>
    <row r="41" customFormat="false" ht="15" hidden="false" customHeight="false" outlineLevel="0" collapsed="false">
      <c r="A41" s="6" t="s">
        <v>115</v>
      </c>
      <c r="B41" s="6" t="s">
        <v>116</v>
      </c>
      <c r="C41" s="6" t="s">
        <v>117</v>
      </c>
      <c r="D41" s="6"/>
      <c r="E41" s="6"/>
    </row>
    <row r="42" customFormat="false" ht="15" hidden="false" customHeight="false" outlineLevel="0" collapsed="false">
      <c r="A42" s="6" t="s">
        <v>118</v>
      </c>
      <c r="B42" s="6" t="s">
        <v>119</v>
      </c>
      <c r="C42" s="6" t="s">
        <v>120</v>
      </c>
      <c r="D42" s="6"/>
      <c r="E4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3" t="s">
        <v>123</v>
      </c>
      <c r="B4" s="3" t="s">
        <v>17</v>
      </c>
      <c r="C4" s="3" t="s">
        <v>124</v>
      </c>
    </row>
    <row r="5" customFormat="false" ht="15" hidden="false" customHeight="false" outlineLevel="0" collapsed="false">
      <c r="A5" s="6" t="s">
        <v>63</v>
      </c>
      <c r="B5" s="15" t="s">
        <v>68</v>
      </c>
      <c r="C5" s="16" t="s">
        <v>125</v>
      </c>
    </row>
    <row r="6" customFormat="false" ht="15" hidden="false" customHeight="false" outlineLevel="0" collapsed="false">
      <c r="A6" s="6" t="s">
        <v>65</v>
      </c>
      <c r="B6" s="15" t="n">
        <v>300</v>
      </c>
      <c r="C6" s="16" t="s">
        <v>126</v>
      </c>
    </row>
    <row r="7" customFormat="false" ht="15" hidden="false" customHeight="false" outlineLevel="0" collapsed="false">
      <c r="A7" s="6" t="s">
        <v>127</v>
      </c>
      <c r="B7" s="15" t="n">
        <v>720</v>
      </c>
      <c r="C7" s="16" t="s">
        <v>128</v>
      </c>
    </row>
    <row r="8" customFormat="false" ht="15" hidden="false" customHeight="false" outlineLevel="0" collapsed="false">
      <c r="A8" s="6" t="s">
        <v>129</v>
      </c>
      <c r="B8" s="15" t="n">
        <v>30</v>
      </c>
      <c r="C8" s="16" t="s">
        <v>130</v>
      </c>
    </row>
    <row r="9" customFormat="false" ht="15" hidden="false" customHeight="false" outlineLevel="0" collapsed="false">
      <c r="A9" s="6" t="s">
        <v>131</v>
      </c>
      <c r="B9" s="15" t="n">
        <v>40</v>
      </c>
      <c r="C9" s="16" t="s">
        <v>130</v>
      </c>
    </row>
    <row r="10" customFormat="false" ht="15" hidden="false" customHeight="false" outlineLevel="0" collapsed="false">
      <c r="A10" s="6" t="s">
        <v>132</v>
      </c>
      <c r="B10" s="15" t="n">
        <v>700</v>
      </c>
      <c r="C10" s="16" t="s">
        <v>133</v>
      </c>
    </row>
    <row r="11" customFormat="false" ht="15" hidden="false" customHeight="false" outlineLevel="0" collapsed="false">
      <c r="A11" s="6" t="s">
        <v>134</v>
      </c>
      <c r="B11" s="15" t="n">
        <v>600</v>
      </c>
      <c r="C11" s="16" t="s">
        <v>135</v>
      </c>
    </row>
    <row r="12" customFormat="false" ht="15" hidden="false" customHeight="false" outlineLevel="0" collapsed="false">
      <c r="A12" s="6" t="s">
        <v>136</v>
      </c>
      <c r="B12" s="15" t="n">
        <v>0</v>
      </c>
      <c r="C12" s="16" t="s">
        <v>137</v>
      </c>
    </row>
    <row r="13" customFormat="false" ht="15" hidden="false" customHeight="false" outlineLevel="0" collapsed="false">
      <c r="A13" s="6" t="s">
        <v>2</v>
      </c>
      <c r="B13" s="15" t="s">
        <v>8</v>
      </c>
      <c r="C13" s="16" t="s">
        <v>138</v>
      </c>
    </row>
    <row r="14" customFormat="false" ht="15" hidden="false" customHeight="false" outlineLevel="0" collapsed="false">
      <c r="A14" s="6" t="s">
        <v>29</v>
      </c>
      <c r="B14" s="15" t="s">
        <v>47</v>
      </c>
      <c r="C14" s="16" t="s">
        <v>139</v>
      </c>
    </row>
    <row r="15" customFormat="false" ht="15" hidden="false" customHeight="false" outlineLevel="0" collapsed="false">
      <c r="A15" s="6" t="s">
        <v>140</v>
      </c>
      <c r="B15" s="15" t="s">
        <v>141</v>
      </c>
      <c r="C15" s="16" t="s">
        <v>116</v>
      </c>
    </row>
    <row r="16" customFormat="false" ht="15" hidden="false" customHeight="false" outlineLevel="0" collapsed="false">
      <c r="A16" s="6" t="s">
        <v>142</v>
      </c>
      <c r="B16" s="15" t="n">
        <v>2</v>
      </c>
      <c r="C16" s="16"/>
    </row>
    <row r="18" customFormat="false" ht="15" hidden="false" customHeight="false" outlineLevel="0" collapsed="false">
      <c r="A18" s="3" t="s">
        <v>143</v>
      </c>
      <c r="B18" s="3" t="s">
        <v>17</v>
      </c>
      <c r="C18" s="3" t="s">
        <v>144</v>
      </c>
    </row>
    <row r="19" customFormat="false" ht="15" hidden="false" customHeight="false" outlineLevel="0" collapsed="false">
      <c r="A19" s="6" t="s">
        <v>145</v>
      </c>
      <c r="B19" s="17" t="n">
        <f aca="false">IF(B5="W łuk",PI()*B6,IF(B5="Obustronne",PI()*B6,PI()*B6/2))</f>
        <v>471.238898038469</v>
      </c>
      <c r="C19" s="16" t="s">
        <v>146</v>
      </c>
    </row>
    <row r="20" customFormat="false" ht="15" hidden="false" customHeight="false" outlineLevel="0" collapsed="false">
      <c r="A20" s="6" t="s">
        <v>147</v>
      </c>
      <c r="B20" s="18" t="n">
        <f aca="false">IF(B5="Narożne",B8+B9,IF(B5="Przedłużane",B10-B6,IF(B5="Obustronne",(B11-2*B6)+IF(B12&gt;0,2*(B12-B6),0),0)))</f>
        <v>70</v>
      </c>
      <c r="C20" s="16" t="s">
        <v>148</v>
      </c>
    </row>
    <row r="21" customFormat="false" ht="15" hidden="false" customHeight="false" outlineLevel="0" collapsed="false">
      <c r="A21" s="6" t="s">
        <v>149</v>
      </c>
      <c r="B21" s="17" t="n">
        <f aca="false">B19+B20</f>
        <v>541.238898038469</v>
      </c>
      <c r="C21" s="16"/>
    </row>
    <row r="22" customFormat="false" ht="15" hidden="false" customHeight="false" outlineLevel="0" collapsed="false">
      <c r="A22" s="6" t="s">
        <v>150</v>
      </c>
      <c r="B22" s="19" t="n">
        <f aca="false">B21*B7/1000000</f>
        <v>0.389692006587698</v>
      </c>
      <c r="C22" s="16" t="s">
        <v>151</v>
      </c>
    </row>
    <row r="23" customFormat="false" ht="15" hidden="false" customHeight="false" outlineLevel="0" collapsed="false">
      <c r="A23" s="6" t="s">
        <v>152</v>
      </c>
      <c r="B23" s="20" t="str">
        <f aca="false">IF(B13="Laminat","FG",B14)</f>
        <v>FR07</v>
      </c>
      <c r="C23" s="16" t="s">
        <v>153</v>
      </c>
    </row>
    <row r="24" customFormat="false" ht="15" hidden="false" customHeight="false" outlineLevel="0" collapsed="false">
      <c r="A24" s="6" t="s">
        <v>154</v>
      </c>
      <c r="B24" s="14" t="n">
        <f aca="false">IFERROR(INDEX('Ceny m2'!$C$5:$E$18,MATCH(B23,'Ceny m2'!$A$5:$A$18,0),MATCH(B13,{"Lakierowane","Fornirowane","Laminat"},0)),"")</f>
        <v>2750</v>
      </c>
      <c r="C24" s="16" t="s">
        <v>155</v>
      </c>
    </row>
    <row r="25" customFormat="false" ht="15" hidden="false" customHeight="false" outlineLevel="0" collapsed="false">
      <c r="A25" s="6" t="s">
        <v>156</v>
      </c>
      <c r="B25" s="21" t="n">
        <f aca="false">IF(B7&gt;Cennik!$B$12,1+Cennik!$B$13,1)</f>
        <v>1</v>
      </c>
      <c r="C25" s="16"/>
    </row>
    <row r="26" customFormat="false" ht="15" hidden="false" customHeight="false" outlineLevel="0" collapsed="false">
      <c r="A26" s="6" t="s">
        <v>157</v>
      </c>
      <c r="B26" s="21" t="n">
        <f aca="false">IF(B15="TAK",1+Cennik!$B$14,1)</f>
        <v>1.25</v>
      </c>
      <c r="C26" s="16"/>
    </row>
    <row r="27" customFormat="false" ht="15" hidden="false" customHeight="false" outlineLevel="0" collapsed="false">
      <c r="A27" s="6" t="s">
        <v>158</v>
      </c>
      <c r="B27" s="14" t="n">
        <f aca="false">IF(OR(B24="",B24="n/d"),"do ustalenia",B24*B25*B26)</f>
        <v>3437.5</v>
      </c>
      <c r="C27" s="16" t="s">
        <v>159</v>
      </c>
    </row>
    <row r="28" customFormat="false" ht="15" hidden="false" customHeight="false" outlineLevel="0" collapsed="false">
      <c r="A28" s="6" t="s">
        <v>160</v>
      </c>
      <c r="B28" s="22" t="n">
        <f aca="false">IF(ISNUMBER(B27),ROUND(B22*B27,0),"do ustalenia")</f>
        <v>1340</v>
      </c>
      <c r="C28" s="16" t="s">
        <v>161</v>
      </c>
    </row>
    <row r="29" customFormat="false" ht="15" hidden="false" customHeight="false" outlineLevel="0" collapsed="false">
      <c r="A29" s="6" t="s">
        <v>162</v>
      </c>
      <c r="B29" s="22" t="n">
        <f aca="false">IF(ISNUMBER(B28),B28*B16,"do ustalenia")</f>
        <v>2680</v>
      </c>
      <c r="C29" s="16" t="s">
        <v>163</v>
      </c>
    </row>
    <row r="30" customFormat="false" ht="15" hidden="false" customHeight="false" outlineLevel="0" collapsed="false">
      <c r="A30" s="6" t="s">
        <v>7</v>
      </c>
      <c r="B30" s="20" t="str">
        <f aca="false">IF(AND(B7&gt;Cennik!$B$12,B13&lt;&gt;"Laminat"),"Przy H &gt; "&amp;Cennik!$B$12&amp;" mm dostępny tylko laminat gładki!",IF(AND(B5="Narożne",OR(AND(B8&gt;0,OR(B8&lt;10,B8&gt;50)),AND(B9&gt;0,OR(B9&lt;10,B9&gt;50)))),"Przedłużenie: 0 lub 10–50 mm",IF(OR(B7&lt;100,B7&gt;3200),"H poza zakresem 100–3200 mm","OK")))</f>
        <v>OK</v>
      </c>
      <c r="C30" s="16" t="s">
        <v>164</v>
      </c>
    </row>
  </sheetData>
  <dataValidations count="4">
    <dataValidation allowBlank="false" errorStyle="stop" operator="between" showDropDown="false" showErrorMessage="false" showInputMessage="false" sqref="B5" type="list">
      <formula1>"Narożne,Przedłużane,Obustronne,W łuk"</formula1>
      <formula2>0</formula2>
    </dataValidation>
    <dataValidation allowBlank="false" errorStyle="stop" operator="between" showDropDown="false" showErrorMessage="false" showInputMessage="false" sqref="B13" type="list">
      <formula1>"Laminat,Fornirowane,Lakierowane"</formula1>
      <formula2>0</formula2>
    </dataValidation>
    <dataValidation allowBlank="false" errorStyle="stop" operator="between" showDropDown="false" showErrorMessage="false" showInputMessage="false" sqref="B14" type="list">
      <formula1>'Ceny m2'!$A$5:$A$18</formula1>
      <formula2>0</formula2>
    </dataValidation>
    <dataValidation allowBlank="false" errorStyle="stop" operator="between" showDropDown="false" showErrorMessage="false" showInputMessage="false" sqref="B15" type="list">
      <formula1>"TAK,NIE"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165</v>
      </c>
    </row>
    <row r="3" customFormat="false" ht="15" hidden="false" customHeight="false" outlineLevel="0" collapsed="false">
      <c r="A3" s="3" t="s">
        <v>166</v>
      </c>
      <c r="B3" s="3" t="s">
        <v>167</v>
      </c>
      <c r="C3" s="3" t="s">
        <v>168</v>
      </c>
    </row>
    <row r="4" customFormat="false" ht="15" hidden="false" customHeight="false" outlineLevel="0" collapsed="false">
      <c r="A4" s="6" t="n">
        <v>1</v>
      </c>
      <c r="B4" s="23" t="s">
        <v>169</v>
      </c>
      <c r="C4" s="24"/>
    </row>
    <row r="5" customFormat="false" ht="15" hidden="false" customHeight="false" outlineLevel="0" collapsed="false">
      <c r="A5" s="6" t="n">
        <v>2</v>
      </c>
      <c r="B5" s="23" t="s">
        <v>170</v>
      </c>
      <c r="C5" s="24"/>
    </row>
    <row r="6" customFormat="false" ht="15" hidden="false" customHeight="false" outlineLevel="0" collapsed="false">
      <c r="A6" s="6" t="n">
        <v>3</v>
      </c>
      <c r="B6" s="23" t="s">
        <v>171</v>
      </c>
      <c r="C6" s="24"/>
    </row>
    <row r="7" customFormat="false" ht="15" hidden="false" customHeight="false" outlineLevel="0" collapsed="false">
      <c r="A7" s="6" t="n">
        <v>4</v>
      </c>
      <c r="B7" s="23" t="s">
        <v>172</v>
      </c>
      <c r="C7" s="24"/>
    </row>
    <row r="8" customFormat="false" ht="15" hidden="false" customHeight="false" outlineLevel="0" collapsed="false">
      <c r="A8" s="6" t="n">
        <v>5</v>
      </c>
      <c r="B8" s="23" t="s">
        <v>173</v>
      </c>
      <c r="C8" s="24"/>
    </row>
    <row r="9" customFormat="false" ht="15" hidden="false" customHeight="false" outlineLevel="0" collapsed="false">
      <c r="A9" s="6" t="n">
        <v>6</v>
      </c>
      <c r="B9" s="23" t="s">
        <v>174</v>
      </c>
      <c r="C9" s="24"/>
    </row>
    <row r="10" customFormat="false" ht="15" hidden="false" customHeight="false" outlineLevel="0" collapsed="false">
      <c r="A10" s="6" t="n">
        <v>7</v>
      </c>
      <c r="B10" s="23" t="s">
        <v>175</v>
      </c>
      <c r="C10" s="24"/>
    </row>
    <row r="11" customFormat="false" ht="15" hidden="false" customHeight="false" outlineLevel="0" collapsed="false">
      <c r="A11" s="6" t="n">
        <v>8</v>
      </c>
      <c r="B11" s="23" t="s">
        <v>176</v>
      </c>
      <c r="C1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2026-10-03T14:03:43Z</dcterms:created>
  <dc:creator>openpyxl</dc:creator>
  <dc:description/>
  <dc:language>en-US</dc:language>
  <cp:lastModifiedBy/>
  <dcterms:modified xsi:type="dcterms:W3CDTF">2026-10-03T14:03:43Z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